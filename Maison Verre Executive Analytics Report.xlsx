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Revenue &amp; Product Analysis" sheetId="2" r:id="rId6"/>
    <sheet state="visible" name="Client &amp; Retention Dashboard" sheetId="3" r:id="rId7"/>
    <sheet state="visible" name="Executive Summary" sheetId="4" r:id="rId8"/>
  </sheets>
  <definedNames/>
  <calcPr/>
</workbook>
</file>

<file path=xl/sharedStrings.xml><?xml version="1.0" encoding="utf-8"?>
<sst xmlns="http://schemas.openxmlformats.org/spreadsheetml/2006/main" count="158" uniqueCount="78">
  <si>
    <t>Month</t>
  </si>
  <si>
    <t>Total Revenue ($k)</t>
  </si>
  <si>
    <t>ATV ($)</t>
  </si>
  <si>
    <t>UPT</t>
  </si>
  <si>
    <t>Sell-Through %</t>
  </si>
  <si>
    <t>Markdown Rate %</t>
  </si>
  <si>
    <t>VIC Client Count</t>
  </si>
  <si>
    <t>NPS Score</t>
  </si>
  <si>
    <t>SSS Growth %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</si>
  <si>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</si>
  <si>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</si>
  <si>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</si>
  <si>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</si>
  <si>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</si>
  <si>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</si>
  <si>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</si>
  <si>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</si>
  <si>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</si>
  <si>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</si>
  <si>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</si>
  <si>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</si>
  <si>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Cohort Retention Raw Data</t>
  </si>
  <si>
    <t>Cohort Month</t>
  </si>
  <si>
    <t>New Clients (Month 0)</t>
  </si>
  <si>
    <t>Returned M1</t>
  </si>
  <si>
    <t>Returned M2</t>
  </si>
  <si>
    <t>Returned M3</t>
  </si>
  <si>
    <t>Returned M4</t>
  </si>
  <si>
    <t>Returned M5</t>
  </si>
  <si>
    <t>Returned M6</t>
  </si>
  <si>
    <t xml:space="preserve">            –</t>
  </si>
  <si>
    <t>Maison Verre – Revenue &amp; Product Analysis</t>
  </si>
  <si>
    <t>Monthly Revenue Summary</t>
  </si>
  <si>
    <t>Total Revenue ($)</t>
  </si>
  <si>
    <t>MoM% △</t>
  </si>
  <si>
    <t>Product Performance Ranking</t>
  </si>
  <si>
    <t>ATV($)</t>
  </si>
  <si>
    <t>ATV Rank</t>
  </si>
  <si>
    <t>Top 3 Flag</t>
  </si>
  <si>
    <t>Markdown Efficiency</t>
  </si>
  <si>
    <t>Efficiency Score</t>
  </si>
  <si>
    <t>Efficiency Rank</t>
  </si>
  <si>
    <t>Client &amp; Retention Dashboard</t>
  </si>
  <si>
    <t xml:space="preserve">VIC &amp; NPS Tracker </t>
  </si>
  <si>
    <t>VIC MoM% △</t>
  </si>
  <si>
    <t>NPS vs Prior Month Delta</t>
  </si>
  <si>
    <t>Cohort Retention Matrix</t>
  </si>
  <si>
    <t>M0</t>
  </si>
  <si>
    <t>M1</t>
  </si>
  <si>
    <t>M2</t>
  </si>
  <si>
    <t>M3</t>
  </si>
  <si>
    <t>M4</t>
  </si>
  <si>
    <t>M5</t>
  </si>
  <si>
    <t>M6</t>
  </si>
  <si>
    <t>Retention Average</t>
  </si>
  <si>
    <t>M1 Retention Average</t>
  </si>
  <si>
    <t>M3 Retention Average</t>
  </si>
  <si>
    <t>Best Performing Cohort Month 1</t>
  </si>
  <si>
    <t>Maison Verre – Executive Summary</t>
  </si>
  <si>
    <t>Analyst Insight</t>
  </si>
  <si>
    <t>2024 Performance Highlights</t>
  </si>
  <si>
    <r>
      <rPr>
        <rFont val="Arial"/>
        <b/>
        <color theme="1"/>
      </rPr>
      <t>Insight 1 — Revenue &amp; Seasonality</t>
    </r>
    <r>
      <rPr>
        <rFont val="Arial"/>
        <color theme="1"/>
      </rPr>
      <t xml:space="preserve"> </t>
    </r>
  </si>
  <si>
    <t>Maison Verre's strongest revenue performance was concentrated in Q4, with December alone generating $1,890k — the highest single month of the year and nearly 64% above February's low of $1,155k. This pattern is consistent with luxury retail behavior, where gifting season and end-of-year purchasing drive a predictable demand surge, and it signals an opportunity to protect margin in Q4 by reducing promotional activity during the period when clients are already most motivated to buy.</t>
  </si>
  <si>
    <t>Best Revenue Month</t>
  </si>
  <si>
    <r>
      <rPr>
        <rFont val="Arial"/>
        <b/>
        <color theme="1"/>
      </rPr>
      <t>Insight 2 — Product Performance</t>
    </r>
    <r>
      <rPr>
        <rFont val="Arial"/>
        <color theme="1"/>
      </rPr>
      <t xml:space="preserve"> </t>
    </r>
  </si>
  <si>
    <t>Peak Revenue ($k)</t>
  </si>
  <si>
    <t>The brand's Average Transaction Value peaked at $524 in December and held above $450 for five consecutive months in Q3 and Q4, reflecting strong pricing power during high-demand periods. Paired with an average Sell-Through rate of 73% across the year, this suggests Maison Verre's clients are purchasing at full price more often than not — a healthy signal that the assortment is resonating without requiring heavy discounting to move inventory.</t>
  </si>
  <si>
    <t>Highest ATV Month</t>
  </si>
  <si>
    <t>Insight 3 — Client Retention</t>
  </si>
  <si>
    <t>Peak ATV ($)</t>
  </si>
  <si>
    <t>Maison Verre successfully retained approximately 6 in 10 first-time clients after their initial purchase month — a meaningful result that reflects genuine brand affinity. However, retention drops to roughly 1 in 3 clients by Month 3, indicating that the relationship begins to fade without sustained engagement in the critical window between a client's first and third visit. Targeted outreach, personalized follow-up, and curated client events in that 60-to-90-day window represent the highest-leverage opportunity to deepen loyalty before it lapses.</t>
  </si>
  <si>
    <t>Average Sell-Through %</t>
  </si>
  <si>
    <t>Insight 4 — Markdown Efficiency</t>
  </si>
  <si>
    <t>Best NPS Month</t>
  </si>
  <si>
    <t>August was Maison Verre's least efficient month by a clear margin — a 60% Sell-Through rate combined with a 14% Markdown Rate produced the lowest efficiency score of the year at 46%, suggesting late-summer inventory was not moving at full price and required discounting to clear. By contrast, December achieved an 81% efficiency score, demonstrating that when demand is strong, the brand has the pricing discipline to protect margin. Closing the gap between August and December performance — through tighter inventory planning in the summer months — is where meaningful margin recovery lives.</t>
  </si>
  <si>
    <t>Peak NPS Score</t>
  </si>
  <si>
    <t>M1 Client Retention Rate</t>
  </si>
  <si>
    <t>M3 Client Retention 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</si>
</sst>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0.0%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/>
  </fonts>
  <fills count="8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0" fontId="2" numFmtId="0" xfId="0" applyAlignment="1" applyBorder="1" applyFont="1">
      <alignment readingOrder="0" shrinkToFit="0" wrapText="1"/>
    </xf>
    <xf borderId="2" fillId="0" fontId="2" numFmtId="0" xfId="0" applyAlignment="1" applyBorder="1" applyFont="1">
      <alignment readingOrder="0" shrinkToFit="0" wrapText="1"/>
    </xf>
    <xf borderId="3" fillId="0" fontId="2" numFmtId="0" xfId="0" applyAlignment="1" applyBorder="1" applyFont="1">
      <alignment readingOrder="0" shrinkToFit="0" wrapText="1"/>
    </xf>
    <xf borderId="4" fillId="0" fontId="2" numFmtId="0" xfId="0" applyAlignment="1" applyBorder="1" applyFont="1">
      <alignment readingOrder="0" shrinkToFit="0" wrapText="1"/>
    </xf>
    <xf borderId="0" fillId="0" fontId="1" numFmtId="164" xfId="0" applyAlignment="1" applyFont="1" applyNumberForma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9" xfId="0" applyAlignment="1" applyFont="1" applyNumberFormat="1">
      <alignment readingOrder="0" shrinkToFit="0" wrapText="1"/>
    </xf>
    <xf borderId="5" fillId="0" fontId="1" numFmtId="9" xfId="0" applyAlignment="1" applyBorder="1" applyFont="1" applyNumberFormat="1">
      <alignment readingOrder="0" shrinkToFit="0" wrapText="1"/>
    </xf>
    <xf borderId="6" fillId="0" fontId="2" numFmtId="0" xfId="0" applyAlignment="1" applyBorder="1" applyFont="1">
      <alignment readingOrder="0" shrinkToFit="0" wrapText="1"/>
    </xf>
    <xf borderId="7" fillId="0" fontId="1" numFmtId="164" xfId="0" applyAlignment="1" applyBorder="1" applyFont="1" applyNumberFormat="1">
      <alignment readingOrder="0" shrinkToFit="0" wrapText="1"/>
    </xf>
    <xf borderId="7" fillId="0" fontId="1" numFmtId="0" xfId="0" applyAlignment="1" applyBorder="1" applyFont="1">
      <alignment readingOrder="0" shrinkToFit="0" wrapText="1"/>
    </xf>
    <xf borderId="7" fillId="0" fontId="1" numFmtId="9" xfId="0" applyAlignment="1" applyBorder="1" applyFont="1" applyNumberFormat="1">
      <alignment readingOrder="0" shrinkToFit="0" wrapText="1"/>
    </xf>
    <xf borderId="8" fillId="0" fontId="1" numFmtId="9" xfId="0" applyAlignment="1" applyBorder="1" applyFont="1" applyNumberFormat="1">
      <alignment readingOrder="0" shrinkToFit="0" wrapText="1"/>
    </xf>
    <xf borderId="0" fillId="0" fontId="1" numFmtId="0" xfId="0" applyAlignment="1" applyFont="1">
      <alignment horizontal="center" readingOrder="0" shrinkToFit="0" wrapText="1"/>
    </xf>
    <xf borderId="1" fillId="0" fontId="3" numFmtId="0" xfId="0" applyAlignment="1" applyBorder="1" applyFont="1">
      <alignment shrinkToFit="0" vertical="bottom" wrapText="1"/>
    </xf>
    <xf borderId="2" fillId="0" fontId="3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bottom" wrapText="1"/>
    </xf>
    <xf borderId="9" fillId="0" fontId="3" numFmtId="0" xfId="0" applyAlignment="1" applyBorder="1" applyFont="1">
      <alignment shrinkToFit="0" vertical="bottom" wrapText="1"/>
    </xf>
    <xf borderId="10" fillId="0" fontId="4" numFmtId="0" xfId="0" applyAlignment="1" applyBorder="1" applyFont="1">
      <alignment horizontal="right" shrinkToFit="0" vertical="bottom" wrapText="1"/>
    </xf>
    <xf borderId="11" fillId="0" fontId="3" numFmtId="0" xfId="0" applyAlignment="1" applyBorder="1" applyFont="1">
      <alignment shrinkToFit="0" vertical="bottom" wrapText="1"/>
    </xf>
    <xf borderId="10" fillId="0" fontId="4" numFmtId="0" xfId="0" applyAlignment="1" applyBorder="1" applyFont="1">
      <alignment shrinkToFit="0" vertical="bottom" wrapText="1"/>
    </xf>
    <xf borderId="12" fillId="0" fontId="3" numFmtId="0" xfId="0" applyAlignment="1" applyBorder="1" applyFont="1">
      <alignment shrinkToFit="0" vertical="bottom" wrapText="1"/>
    </xf>
    <xf borderId="0" fillId="2" fontId="2" numFmtId="0" xfId="0" applyAlignment="1" applyFill="1" applyFont="1">
      <alignment horizontal="center" readingOrder="0" shrinkToFit="0" wrapText="1"/>
    </xf>
    <xf borderId="1" fillId="3" fontId="2" numFmtId="0" xfId="0" applyAlignment="1" applyBorder="1" applyFill="1" applyFont="1">
      <alignment horizontal="center" readingOrder="0" shrinkToFit="0" wrapText="1"/>
    </xf>
    <xf borderId="2" fillId="0" fontId="5" numFmtId="0" xfId="0" applyBorder="1" applyFont="1"/>
    <xf borderId="3" fillId="0" fontId="5" numFmtId="0" xfId="0" applyBorder="1" applyFont="1"/>
    <xf borderId="1" fillId="3" fontId="2" numFmtId="0" xfId="0" applyAlignment="1" applyBorder="1" applyFont="1">
      <alignment readingOrder="0" shrinkToFit="0" wrapText="1"/>
    </xf>
    <xf borderId="2" fillId="3" fontId="2" numFmtId="0" xfId="0" applyAlignment="1" applyBorder="1" applyFont="1">
      <alignment readingOrder="0" shrinkToFit="0" wrapText="1"/>
    </xf>
    <xf borderId="3" fillId="3" fontId="2" numFmtId="0" xfId="0" applyAlignment="1" applyBorder="1" applyFont="1">
      <alignment readingOrder="0" shrinkToFit="0" wrapText="1"/>
    </xf>
    <xf borderId="9" fillId="4" fontId="2" numFmtId="0" xfId="0" applyAlignment="1" applyBorder="1" applyFill="1" applyFont="1">
      <alignment readingOrder="0" shrinkToFit="0" wrapText="1"/>
    </xf>
    <xf borderId="0" fillId="0" fontId="1" numFmtId="164" xfId="0" applyAlignment="1" applyFont="1" applyNumberFormat="1">
      <alignment shrinkToFit="0" wrapText="1"/>
    </xf>
    <xf borderId="5" fillId="0" fontId="1" numFmtId="165" xfId="0" applyAlignment="1" applyBorder="1" applyFont="1" applyNumberFormat="1">
      <alignment shrinkToFit="0" wrapText="1"/>
    </xf>
    <xf borderId="11" fillId="4" fontId="2" numFmtId="0" xfId="0" applyAlignment="1" applyBorder="1" applyFont="1">
      <alignment readingOrder="0" shrinkToFit="0" wrapText="1"/>
    </xf>
    <xf borderId="12" fillId="4" fontId="2" numFmtId="0" xfId="0" applyAlignment="1" applyBorder="1" applyFont="1">
      <alignment readingOrder="0" shrinkToFit="0" wrapText="1"/>
    </xf>
    <xf borderId="7" fillId="0" fontId="1" numFmtId="164" xfId="0" applyAlignment="1" applyBorder="1" applyFont="1" applyNumberFormat="1">
      <alignment shrinkToFit="0" wrapText="1"/>
    </xf>
    <xf borderId="8" fillId="0" fontId="1" numFmtId="165" xfId="0" applyAlignment="1" applyBorder="1" applyFont="1" applyNumberFormat="1">
      <alignment shrinkToFit="0" wrapText="1"/>
    </xf>
    <xf borderId="9" fillId="3" fontId="2" numFmtId="0" xfId="0" applyAlignment="1" applyBorder="1" applyFont="1">
      <alignment readingOrder="0" shrinkToFit="0" wrapText="1"/>
    </xf>
    <xf borderId="0" fillId="5" fontId="1" numFmtId="164" xfId="0" applyAlignment="1" applyFill="1" applyFont="1" applyNumberFormat="1">
      <alignment shrinkToFit="0" wrapText="1"/>
    </xf>
    <xf borderId="0" fillId="5" fontId="1" numFmtId="0" xfId="0" applyAlignment="1" applyFont="1">
      <alignment shrinkToFit="0" wrapText="1"/>
    </xf>
    <xf borderId="5" fillId="5" fontId="1" numFmtId="9" xfId="0" applyAlignment="1" applyBorder="1" applyFont="1" applyNumberFormat="1">
      <alignment shrinkToFit="0" wrapText="1"/>
    </xf>
    <xf borderId="11" fillId="3" fontId="2" numFmtId="0" xfId="0" applyAlignment="1" applyBorder="1" applyFont="1">
      <alignment readingOrder="0" shrinkToFit="0" wrapText="1"/>
    </xf>
    <xf borderId="12" fillId="3" fontId="2" numFmtId="0" xfId="0" applyAlignment="1" applyBorder="1" applyFont="1">
      <alignment readingOrder="0" shrinkToFit="0" wrapText="1"/>
    </xf>
    <xf borderId="7" fillId="5" fontId="1" numFmtId="164" xfId="0" applyAlignment="1" applyBorder="1" applyFont="1" applyNumberFormat="1">
      <alignment shrinkToFit="0" wrapText="1"/>
    </xf>
    <xf borderId="7" fillId="5" fontId="1" numFmtId="0" xfId="0" applyAlignment="1" applyBorder="1" applyFont="1">
      <alignment shrinkToFit="0" wrapText="1"/>
    </xf>
    <xf borderId="8" fillId="5" fontId="1" numFmtId="9" xfId="0" applyAlignment="1" applyBorder="1" applyFont="1" applyNumberFormat="1">
      <alignment shrinkToFit="0" wrapText="1"/>
    </xf>
    <xf borderId="0" fillId="6" fontId="1" numFmtId="9" xfId="0" applyAlignment="1" applyFill="1" applyFont="1" applyNumberFormat="1">
      <alignment shrinkToFit="0" wrapText="1"/>
    </xf>
    <xf borderId="5" fillId="6" fontId="1" numFmtId="0" xfId="0" applyAlignment="1" applyBorder="1" applyFont="1">
      <alignment shrinkToFit="0" wrapText="1"/>
    </xf>
    <xf borderId="7" fillId="6" fontId="1" numFmtId="9" xfId="0" applyAlignment="1" applyBorder="1" applyFont="1" applyNumberFormat="1">
      <alignment shrinkToFit="0" wrapText="1"/>
    </xf>
    <xf borderId="8" fillId="6" fontId="1" numFmtId="0" xfId="0" applyAlignment="1" applyBorder="1" applyFont="1">
      <alignment shrinkToFit="0" wrapText="1"/>
    </xf>
    <xf borderId="9" fillId="4" fontId="2" numFmtId="0" xfId="0" applyAlignment="1" applyBorder="1" applyFont="1">
      <alignment shrinkToFit="0" wrapText="1"/>
    </xf>
    <xf borderId="0" fillId="6" fontId="1" numFmtId="0" xfId="0" applyAlignment="1" applyFont="1">
      <alignment shrinkToFit="0" wrapText="1"/>
    </xf>
    <xf borderId="0" fillId="6" fontId="1" numFmtId="165" xfId="0" applyAlignment="1" applyFont="1" applyNumberFormat="1">
      <alignment shrinkToFit="0" wrapText="1"/>
    </xf>
    <xf borderId="11" fillId="4" fontId="2" numFmtId="0" xfId="0" applyAlignment="1" applyBorder="1" applyFont="1">
      <alignment shrinkToFit="0" wrapText="1"/>
    </xf>
    <xf borderId="12" fillId="4" fontId="2" numFmtId="0" xfId="0" applyAlignment="1" applyBorder="1" applyFont="1">
      <alignment shrinkToFit="0" wrapText="1"/>
    </xf>
    <xf borderId="7" fillId="6" fontId="1" numFmtId="0" xfId="0" applyAlignment="1" applyBorder="1" applyFont="1">
      <alignment shrinkToFit="0" wrapText="1"/>
    </xf>
    <xf borderId="7" fillId="6" fontId="1" numFmtId="165" xfId="0" applyAlignment="1" applyBorder="1" applyFont="1" applyNumberFormat="1">
      <alignment shrinkToFit="0" wrapText="1"/>
    </xf>
    <xf borderId="0" fillId="0" fontId="1" numFmtId="9" xfId="0" applyAlignment="1" applyFont="1" applyNumberFormat="1">
      <alignment shrinkToFit="0" wrapText="1"/>
    </xf>
    <xf borderId="5" fillId="0" fontId="1" numFmtId="9" xfId="0" applyAlignment="1" applyBorder="1" applyFont="1" applyNumberFormat="1">
      <alignment shrinkToFit="0" wrapText="1"/>
    </xf>
    <xf borderId="7" fillId="0" fontId="1" numFmtId="9" xfId="0" applyAlignment="1" applyBorder="1" applyFont="1" applyNumberFormat="1">
      <alignment shrinkToFit="0" wrapText="1"/>
    </xf>
    <xf borderId="8" fillId="0" fontId="1" numFmtId="9" xfId="0" applyAlignment="1" applyBorder="1" applyFont="1" applyNumberFormat="1">
      <alignment shrinkToFit="0" wrapText="1"/>
    </xf>
    <xf borderId="10" fillId="3" fontId="2" numFmtId="0" xfId="0" applyAlignment="1" applyBorder="1" applyFont="1">
      <alignment readingOrder="0" shrinkToFit="0" wrapText="1"/>
    </xf>
    <xf borderId="1" fillId="0" fontId="1" numFmtId="9" xfId="0" applyAlignment="1" applyBorder="1" applyFont="1" applyNumberFormat="1">
      <alignment shrinkToFit="0" wrapText="1"/>
    </xf>
    <xf borderId="2" fillId="0" fontId="1" numFmtId="9" xfId="0" applyAlignment="1" applyBorder="1" applyFont="1" applyNumberFormat="1">
      <alignment shrinkToFit="0" wrapText="1"/>
    </xf>
    <xf borderId="3" fillId="0" fontId="1" numFmtId="9" xfId="0" applyAlignment="1" applyBorder="1" applyFont="1" applyNumberFormat="1">
      <alignment shrinkToFit="0" wrapText="1"/>
    </xf>
    <xf borderId="13" fillId="6" fontId="1" numFmtId="165" xfId="0" applyAlignment="1" applyBorder="1" applyFont="1" applyNumberFormat="1">
      <alignment shrinkToFit="0" wrapText="1"/>
    </xf>
    <xf borderId="5" fillId="6" fontId="1" numFmtId="165" xfId="0" applyAlignment="1" applyBorder="1" applyFont="1" applyNumberFormat="1">
      <alignment shrinkToFit="0" wrapText="1"/>
    </xf>
    <xf borderId="8" fillId="6" fontId="1" numFmtId="0" xfId="0" applyAlignment="1" applyBorder="1" applyFont="1">
      <alignment horizontal="right" shrinkToFit="0" wrapText="1"/>
    </xf>
    <xf borderId="1" fillId="2" fontId="2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wrapText="1"/>
    </xf>
    <xf borderId="4" fillId="4" fontId="1" numFmtId="0" xfId="0" applyAlignment="1" applyBorder="1" applyFont="1">
      <alignment horizontal="center" readingOrder="0" shrinkToFit="0" vertical="top" wrapText="1"/>
    </xf>
    <xf borderId="5" fillId="0" fontId="5" numFmtId="0" xfId="0" applyBorder="1" applyFont="1"/>
    <xf borderId="14" fillId="0" fontId="1" numFmtId="0" xfId="0" applyAlignment="1" applyBorder="1" applyFont="1">
      <alignment shrinkToFit="0" wrapText="1"/>
    </xf>
    <xf borderId="13" fillId="0" fontId="1" numFmtId="0" xfId="0" applyAlignment="1" applyBorder="1" applyFont="1">
      <alignment shrinkToFit="0" wrapText="1"/>
    </xf>
    <xf borderId="4" fillId="0" fontId="1" numFmtId="0" xfId="0" applyAlignment="1" applyBorder="1" applyFont="1">
      <alignment readingOrder="0" shrinkToFit="0" vertical="top" wrapText="1"/>
    </xf>
    <xf borderId="13" fillId="4" fontId="1" numFmtId="0" xfId="0" applyAlignment="1" applyBorder="1" applyFont="1">
      <alignment shrinkToFit="0" wrapText="1"/>
    </xf>
    <xf borderId="5" fillId="4" fontId="1" numFmtId="164" xfId="0" applyAlignment="1" applyBorder="1" applyFont="1" applyNumberFormat="1">
      <alignment shrinkToFit="0" wrapText="1"/>
    </xf>
    <xf borderId="4" fillId="7" fontId="1" numFmtId="0" xfId="0" applyAlignment="1" applyBorder="1" applyFill="1" applyFont="1">
      <alignment readingOrder="0" shrinkToFit="0" vertical="top" wrapText="1"/>
    </xf>
    <xf borderId="5" fillId="4" fontId="1" numFmtId="0" xfId="0" applyAlignment="1" applyBorder="1" applyFont="1">
      <alignment shrinkToFit="0" wrapText="1"/>
    </xf>
    <xf borderId="4" fillId="4" fontId="2" numFmtId="0" xfId="0" applyAlignment="1" applyBorder="1" applyFont="1">
      <alignment horizontal="center" readingOrder="0" shrinkToFit="0" vertical="top" wrapText="1"/>
    </xf>
    <xf borderId="5" fillId="4" fontId="1" numFmtId="9" xfId="0" applyAlignment="1" applyBorder="1" applyFont="1" applyNumberFormat="1">
      <alignment shrinkToFit="0" wrapText="1"/>
    </xf>
    <xf borderId="6" fillId="7" fontId="1" numFmtId="0" xfId="0" applyAlignment="1" applyBorder="1" applyFont="1">
      <alignment readingOrder="0" shrinkToFit="0" vertical="top" wrapText="1"/>
    </xf>
    <xf borderId="7" fillId="0" fontId="5" numFmtId="0" xfId="0" applyBorder="1" applyFont="1"/>
    <xf borderId="8" fillId="0" fontId="5" numFmtId="0" xfId="0" applyBorder="1" applyFont="1"/>
    <xf borderId="0" fillId="7" fontId="1" numFmtId="0" xfId="0" applyAlignment="1" applyFont="1">
      <alignment readingOrder="0" shrinkToFit="0" vertical="top" wrapText="1"/>
    </xf>
    <xf borderId="13" fillId="4" fontId="1" numFmtId="165" xfId="0" applyAlignment="1" applyBorder="1" applyFont="1" applyNumberFormat="1">
      <alignment shrinkToFit="0" wrapText="1"/>
    </xf>
    <xf borderId="0" fillId="0" fontId="1" numFmtId="0" xfId="0" applyAlignment="1" applyFont="1">
      <alignment readingOrder="0" shrinkToFit="0" vertical="top" wrapText="1"/>
    </xf>
    <xf borderId="8" fillId="4" fontId="1" numFmtId="165" xfId="0" applyAlignment="1" applyBorder="1" applyFont="1" applyNumberFormat="1">
      <alignment shrinkToFit="0" wrapText="1"/>
    </xf>
  </cellXfs>
  <cellStyles count="1">
    <cellStyle xfId="0" name="Normal" builtinId="0"/>
  </cellStyles>
  <dxfs count="2"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4" t="s">
        <v>8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5" t="s">
        <v>9</v>
      </c>
      <c r="B4" s="6">
        <v>1235.0</v>
      </c>
      <c r="C4" s="6">
        <v>412.0</v>
      </c>
      <c r="D4" s="7">
        <v>2.4</v>
      </c>
      <c r="E4" s="8">
        <v>0.68</v>
      </c>
      <c r="F4" s="8">
        <v>0.12</v>
      </c>
      <c r="G4" s="7">
        <v>42.0</v>
      </c>
      <c r="H4" s="7">
        <v>61.0</v>
      </c>
      <c r="I4" s="9">
        <v>0.05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5" t="s">
        <v>10</v>
      </c>
      <c r="B5" s="6">
        <v>1155.0</v>
      </c>
      <c r="C5" s="6">
        <v>398.0</v>
      </c>
      <c r="D5" s="7">
        <v>2.6</v>
      </c>
      <c r="E5" s="8">
        <v>0.64</v>
      </c>
      <c r="F5" s="8">
        <v>0.15</v>
      </c>
      <c r="G5" s="7">
        <v>40.0</v>
      </c>
      <c r="H5" s="7">
        <v>58.0</v>
      </c>
      <c r="I5" s="9">
        <v>-0.02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5" t="s">
        <v>11</v>
      </c>
      <c r="B6" s="6">
        <v>1425.0</v>
      </c>
      <c r="C6" s="6">
        <v>445.0</v>
      </c>
      <c r="D6" s="7">
        <v>3.1</v>
      </c>
      <c r="E6" s="8">
        <v>0.74</v>
      </c>
      <c r="F6" s="8">
        <v>0.1</v>
      </c>
      <c r="G6" s="7">
        <v>45.0</v>
      </c>
      <c r="H6" s="7">
        <v>65.0</v>
      </c>
      <c r="I6" s="9">
        <v>0.07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5" t="s">
        <v>12</v>
      </c>
      <c r="B7" s="6">
        <v>1355.0</v>
      </c>
      <c r="C7" s="6">
        <v>432.0</v>
      </c>
      <c r="D7" s="7">
        <v>2.9</v>
      </c>
      <c r="E7" s="8">
        <v>0.71</v>
      </c>
      <c r="F7" s="8">
        <v>0.11</v>
      </c>
      <c r="G7" s="7">
        <v>44.0</v>
      </c>
      <c r="H7" s="7">
        <v>63.0</v>
      </c>
      <c r="I7" s="9">
        <v>0.05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5" t="s">
        <v>13</v>
      </c>
      <c r="B8" s="6">
        <v>1485.0</v>
      </c>
      <c r="C8" s="6">
        <v>458.0</v>
      </c>
      <c r="D8" s="7">
        <v>3.2</v>
      </c>
      <c r="E8" s="8">
        <v>0.76</v>
      </c>
      <c r="F8" s="8">
        <v>0.09</v>
      </c>
      <c r="G8" s="7">
        <v>47.0</v>
      </c>
      <c r="H8" s="7">
        <v>67.0</v>
      </c>
      <c r="I8" s="9">
        <v>0.08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5" t="s">
        <v>14</v>
      </c>
      <c r="B9" s="6">
        <v>1358.0</v>
      </c>
      <c r="C9" s="6">
        <v>438.0</v>
      </c>
      <c r="D9" s="7">
        <v>3.0</v>
      </c>
      <c r="E9" s="8">
        <v>0.69</v>
      </c>
      <c r="F9" s="8">
        <v>0.1</v>
      </c>
      <c r="G9" s="7">
        <v>45.0</v>
      </c>
      <c r="H9" s="7">
        <v>64.0</v>
      </c>
      <c r="I9" s="9">
        <v>0.06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5" t="s">
        <v>15</v>
      </c>
      <c r="B10" s="6">
        <v>1420.0</v>
      </c>
      <c r="C10" s="6">
        <v>451.0</v>
      </c>
      <c r="D10" s="7">
        <v>3.1</v>
      </c>
      <c r="E10" s="8">
        <v>0.73</v>
      </c>
      <c r="F10" s="8">
        <v>0.11</v>
      </c>
      <c r="G10" s="7">
        <v>46.0</v>
      </c>
      <c r="H10" s="7">
        <v>66.0</v>
      </c>
      <c r="I10" s="9">
        <v>0.05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5" t="s">
        <v>16</v>
      </c>
      <c r="B11" s="6">
        <v>1298.0</v>
      </c>
      <c r="C11" s="6">
        <v>421.0</v>
      </c>
      <c r="D11" s="7">
        <v>2.7</v>
      </c>
      <c r="E11" s="8">
        <v>0.6</v>
      </c>
      <c r="F11" s="8">
        <v>0.14</v>
      </c>
      <c r="G11" s="7">
        <v>41.0</v>
      </c>
      <c r="H11" s="7">
        <v>59.0</v>
      </c>
      <c r="I11" s="9">
        <v>0.04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5" t="s">
        <v>17</v>
      </c>
      <c r="B12" s="6">
        <v>1468.0</v>
      </c>
      <c r="C12" s="6">
        <v>455.0</v>
      </c>
      <c r="D12" s="7">
        <v>3.2</v>
      </c>
      <c r="E12" s="8">
        <v>0.75</v>
      </c>
      <c r="F12" s="8">
        <v>0.09</v>
      </c>
      <c r="G12" s="7">
        <v>48.0</v>
      </c>
      <c r="H12" s="7">
        <v>68.0</v>
      </c>
      <c r="I12" s="9">
        <v>0.07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5" t="s">
        <v>18</v>
      </c>
      <c r="B13" s="6">
        <v>1512.0</v>
      </c>
      <c r="C13" s="6">
        <v>468.0</v>
      </c>
      <c r="D13" s="7">
        <v>3.3</v>
      </c>
      <c r="E13" s="8">
        <v>0.78</v>
      </c>
      <c r="F13" s="8">
        <v>0.08</v>
      </c>
      <c r="G13" s="7">
        <v>50.0</v>
      </c>
      <c r="H13" s="7">
        <v>71.0</v>
      </c>
      <c r="I13" s="9">
        <v>0.06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5" t="s">
        <v>19</v>
      </c>
      <c r="B14" s="6">
        <v>1680.0</v>
      </c>
      <c r="C14" s="6">
        <v>492.0</v>
      </c>
      <c r="D14" s="7">
        <v>3.5</v>
      </c>
      <c r="E14" s="8">
        <v>0.82</v>
      </c>
      <c r="F14" s="8">
        <v>0.07</v>
      </c>
      <c r="G14" s="7">
        <v>54.0</v>
      </c>
      <c r="H14" s="7">
        <v>74.0</v>
      </c>
      <c r="I14" s="9">
        <v>0.08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0" t="s">
        <v>20</v>
      </c>
      <c r="B15" s="11">
        <v>1890.0</v>
      </c>
      <c r="C15" s="11">
        <v>524.0</v>
      </c>
      <c r="D15" s="12">
        <v>3.8</v>
      </c>
      <c r="E15" s="13">
        <v>0.87</v>
      </c>
      <c r="F15" s="13">
        <v>0.06</v>
      </c>
      <c r="G15" s="12">
        <v>58.0</v>
      </c>
      <c r="H15" s="12">
        <v>78.0</v>
      </c>
      <c r="I15" s="14">
        <v>0.09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5" t="s">
        <v>21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6" t="s">
        <v>22</v>
      </c>
      <c r="B18" s="17" t="s">
        <v>23</v>
      </c>
      <c r="C18" s="17" t="s">
        <v>24</v>
      </c>
      <c r="D18" s="17" t="s">
        <v>25</v>
      </c>
      <c r="E18" s="17" t="s">
        <v>26</v>
      </c>
      <c r="F18" s="17" t="s">
        <v>27</v>
      </c>
      <c r="G18" s="17" t="s">
        <v>28</v>
      </c>
      <c r="H18" s="18" t="s">
        <v>29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9" t="s">
        <v>9</v>
      </c>
      <c r="B19" s="20">
        <v>120.0</v>
      </c>
      <c r="C19" s="20">
        <v>72.0</v>
      </c>
      <c r="D19" s="20">
        <v>54.0</v>
      </c>
      <c r="E19" s="20">
        <v>42.0</v>
      </c>
      <c r="F19" s="20">
        <v>36.0</v>
      </c>
      <c r="G19" s="20">
        <v>30.0</v>
      </c>
      <c r="H19" s="20">
        <v>26.0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1" t="s">
        <v>10</v>
      </c>
      <c r="B20" s="20">
        <v>105.0</v>
      </c>
      <c r="C20" s="20">
        <v>61.0</v>
      </c>
      <c r="D20" s="20">
        <v>44.0</v>
      </c>
      <c r="E20" s="20">
        <v>33.0</v>
      </c>
      <c r="F20" s="20">
        <v>27.0</v>
      </c>
      <c r="G20" s="20">
        <v>22.0</v>
      </c>
      <c r="H20" s="22" t="s">
        <v>30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21" t="s">
        <v>11</v>
      </c>
      <c r="B21" s="20">
        <v>132.0</v>
      </c>
      <c r="C21" s="20">
        <v>80.0</v>
      </c>
      <c r="D21" s="20">
        <v>60.0</v>
      </c>
      <c r="E21" s="20">
        <v>47.0</v>
      </c>
      <c r="F21" s="20">
        <v>38.0</v>
      </c>
      <c r="G21" s="22" t="s">
        <v>30</v>
      </c>
      <c r="H21" s="22" t="s">
        <v>30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21" t="s">
        <v>12</v>
      </c>
      <c r="B22" s="20">
        <v>98.0</v>
      </c>
      <c r="C22" s="20">
        <v>56.0</v>
      </c>
      <c r="D22" s="20">
        <v>40.0</v>
      </c>
      <c r="E22" s="20">
        <v>30.0</v>
      </c>
      <c r="F22" s="22" t="s">
        <v>30</v>
      </c>
      <c r="G22" s="22" t="s">
        <v>30</v>
      </c>
      <c r="H22" s="22" t="s">
        <v>30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21" t="s">
        <v>13</v>
      </c>
      <c r="B23" s="20">
        <v>115.0</v>
      </c>
      <c r="C23" s="20">
        <v>68.0</v>
      </c>
      <c r="D23" s="20">
        <v>50.0</v>
      </c>
      <c r="E23" s="22" t="s">
        <v>30</v>
      </c>
      <c r="F23" s="22" t="s">
        <v>30</v>
      </c>
      <c r="G23" s="22" t="s">
        <v>30</v>
      </c>
      <c r="H23" s="22" t="s">
        <v>30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21" t="s">
        <v>14</v>
      </c>
      <c r="B24" s="20">
        <v>110.0</v>
      </c>
      <c r="C24" s="20">
        <v>64.0</v>
      </c>
      <c r="D24" s="22" t="s">
        <v>30</v>
      </c>
      <c r="E24" s="22" t="s">
        <v>30</v>
      </c>
      <c r="F24" s="22" t="s">
        <v>30</v>
      </c>
      <c r="G24" s="22" t="s">
        <v>30</v>
      </c>
      <c r="H24" s="22" t="s">
        <v>30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23" t="s">
        <v>15</v>
      </c>
      <c r="B25" s="20">
        <v>127.0</v>
      </c>
      <c r="C25" s="22" t="s">
        <v>30</v>
      </c>
      <c r="D25" s="22" t="s">
        <v>30</v>
      </c>
      <c r="E25" s="22" t="s">
        <v>30</v>
      </c>
      <c r="F25" s="22" t="s">
        <v>30</v>
      </c>
      <c r="G25" s="22" t="s">
        <v>30</v>
      </c>
      <c r="H25" s="22" t="s">
        <v>30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17:H1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" t="s">
        <v>31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5" t="s">
        <v>32</v>
      </c>
      <c r="B2" s="26"/>
      <c r="C2" s="27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8" t="s">
        <v>0</v>
      </c>
      <c r="B3" s="29" t="s">
        <v>33</v>
      </c>
      <c r="C3" s="30" t="s">
        <v>34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1" t="s">
        <v>9</v>
      </c>
      <c r="B4" s="32">
        <f>Data!B4</f>
        <v>1235</v>
      </c>
      <c r="C4" s="33" t="str">
        <f>IFERROR((Data!B4-Data!B3)/Data!$B3,"N/A")</f>
        <v>N/A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4" t="s">
        <v>10</v>
      </c>
      <c r="B5" s="32">
        <f>Data!B5</f>
        <v>1155</v>
      </c>
      <c r="C5" s="33">
        <f>IFERROR((Data!B5-Data!B4)/Data!B4,"N/A")</f>
        <v>-0.06477732794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4" t="s">
        <v>11</v>
      </c>
      <c r="B6" s="32">
        <f>Data!B6</f>
        <v>1425</v>
      </c>
      <c r="C6" s="33">
        <f>IFERROR((Data!B6-Data!B5)/Data!B5,"N/A")</f>
        <v>0.2337662338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4" t="s">
        <v>12</v>
      </c>
      <c r="B7" s="32">
        <f>Data!B7</f>
        <v>1355</v>
      </c>
      <c r="C7" s="33">
        <f>IFERROR((Data!B7-Data!B6)/Data!B6,"N/A")</f>
        <v>-0.04912280702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4" t="s">
        <v>13</v>
      </c>
      <c r="B8" s="32">
        <f>Data!B8</f>
        <v>1485</v>
      </c>
      <c r="C8" s="33">
        <f>IFERROR((Data!B8-Data!B7)/Data!B7,"N/A")</f>
        <v>0.09594095941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4" t="s">
        <v>14</v>
      </c>
      <c r="B9" s="32">
        <f>Data!B9</f>
        <v>1358</v>
      </c>
      <c r="C9" s="33">
        <f>IFERROR((Data!B9-Data!B8)/Data!B8,"N/A")</f>
        <v>-0.08552188552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4" t="s">
        <v>15</v>
      </c>
      <c r="B10" s="32">
        <f>Data!B10</f>
        <v>1420</v>
      </c>
      <c r="C10" s="33">
        <f>IFERROR((Data!B10-Data!B9)/Data!B9,"N/A")</f>
        <v>0.04565537555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4" t="s">
        <v>16</v>
      </c>
      <c r="B11" s="32">
        <f>Data!B11</f>
        <v>1298</v>
      </c>
      <c r="C11" s="33">
        <f>IFERROR((Data!B11-Data!B10)/Data!B10,"N/A")</f>
        <v>-0.08591549296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4" t="s">
        <v>17</v>
      </c>
      <c r="B12" s="32">
        <f>Data!B12</f>
        <v>1468</v>
      </c>
      <c r="C12" s="33">
        <f>IFERROR((Data!B12-Data!B11)/Data!B11,"N/A")</f>
        <v>0.1309707242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4" t="s">
        <v>18</v>
      </c>
      <c r="B13" s="32">
        <f>Data!B13</f>
        <v>1512</v>
      </c>
      <c r="C13" s="33">
        <f>IFERROR((Data!B13-Data!B12)/Data!B12,"N/A")</f>
        <v>0.02997275204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4" t="s">
        <v>19</v>
      </c>
      <c r="B14" s="32">
        <f>Data!B14</f>
        <v>1680</v>
      </c>
      <c r="C14" s="33">
        <f>IFERROR((Data!B14-Data!B13)/Data!B13,"N/A")</f>
        <v>0.1111111111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5" t="s">
        <v>20</v>
      </c>
      <c r="B15" s="36">
        <f>Data!B15</f>
        <v>1890</v>
      </c>
      <c r="C15" s="37">
        <f>IFERROR((Data!B15-Data!B14)/Data!B14,"N/A")</f>
        <v>0.125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5" t="s">
        <v>35</v>
      </c>
      <c r="B17" s="26"/>
      <c r="C17" s="26"/>
      <c r="D17" s="26"/>
      <c r="E17" s="27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28" t="s">
        <v>0</v>
      </c>
      <c r="B18" s="29" t="s">
        <v>36</v>
      </c>
      <c r="C18" s="29" t="s">
        <v>37</v>
      </c>
      <c r="D18" s="29" t="s">
        <v>38</v>
      </c>
      <c r="E18" s="30" t="s">
        <v>4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8" t="s">
        <v>9</v>
      </c>
      <c r="B19" s="39">
        <f>Data!C4</f>
        <v>412</v>
      </c>
      <c r="C19" s="40">
        <f t="shared" ref="C19:C30" si="1">RANK(B19,$B$19:$B$30,0)</f>
        <v>11</v>
      </c>
      <c r="D19" s="40" t="str">
        <f t="shared" ref="D19:D30" si="2">IF(C19&lt;=3,"Top 3"," ")</f>
        <v> </v>
      </c>
      <c r="E19" s="41">
        <f>Data!E4</f>
        <v>0.68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42" t="s">
        <v>10</v>
      </c>
      <c r="B20" s="39">
        <f>Data!C5</f>
        <v>398</v>
      </c>
      <c r="C20" s="40">
        <f t="shared" si="1"/>
        <v>12</v>
      </c>
      <c r="D20" s="40" t="str">
        <f t="shared" si="2"/>
        <v> </v>
      </c>
      <c r="E20" s="41">
        <f>Data!E5</f>
        <v>0.64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42" t="s">
        <v>11</v>
      </c>
      <c r="B21" s="39">
        <f>Data!C6</f>
        <v>445</v>
      </c>
      <c r="C21" s="40">
        <f t="shared" si="1"/>
        <v>7</v>
      </c>
      <c r="D21" s="40" t="str">
        <f t="shared" si="2"/>
        <v> </v>
      </c>
      <c r="E21" s="41">
        <f>Data!E6</f>
        <v>0.74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42" t="s">
        <v>12</v>
      </c>
      <c r="B22" s="39">
        <f>Data!C7</f>
        <v>432</v>
      </c>
      <c r="C22" s="40">
        <f t="shared" si="1"/>
        <v>9</v>
      </c>
      <c r="D22" s="40" t="str">
        <f t="shared" si="2"/>
        <v> </v>
      </c>
      <c r="E22" s="41">
        <f>Data!E7</f>
        <v>0.71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42" t="s">
        <v>13</v>
      </c>
      <c r="B23" s="39">
        <f>Data!C8</f>
        <v>458</v>
      </c>
      <c r="C23" s="40">
        <f t="shared" si="1"/>
        <v>4</v>
      </c>
      <c r="D23" s="40" t="str">
        <f t="shared" si="2"/>
        <v> </v>
      </c>
      <c r="E23" s="41">
        <f>Data!E8</f>
        <v>0.76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42" t="s">
        <v>14</v>
      </c>
      <c r="B24" s="39">
        <f>Data!C9</f>
        <v>438</v>
      </c>
      <c r="C24" s="40">
        <f t="shared" si="1"/>
        <v>8</v>
      </c>
      <c r="D24" s="40" t="str">
        <f t="shared" si="2"/>
        <v> </v>
      </c>
      <c r="E24" s="41">
        <f>Data!E9</f>
        <v>0.69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42" t="s">
        <v>15</v>
      </c>
      <c r="B25" s="39">
        <f>Data!C10</f>
        <v>451</v>
      </c>
      <c r="C25" s="40">
        <f t="shared" si="1"/>
        <v>6</v>
      </c>
      <c r="D25" s="40" t="str">
        <f t="shared" si="2"/>
        <v> </v>
      </c>
      <c r="E25" s="41">
        <f>Data!E10</f>
        <v>0.73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42" t="s">
        <v>16</v>
      </c>
      <c r="B26" s="39">
        <f>Data!C11</f>
        <v>421</v>
      </c>
      <c r="C26" s="40">
        <f t="shared" si="1"/>
        <v>10</v>
      </c>
      <c r="D26" s="40" t="str">
        <f t="shared" si="2"/>
        <v> </v>
      </c>
      <c r="E26" s="41">
        <f>Data!E11</f>
        <v>0.6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42" t="s">
        <v>17</v>
      </c>
      <c r="B27" s="39">
        <f>Data!C12</f>
        <v>455</v>
      </c>
      <c r="C27" s="40">
        <f t="shared" si="1"/>
        <v>5</v>
      </c>
      <c r="D27" s="40" t="str">
        <f t="shared" si="2"/>
        <v> </v>
      </c>
      <c r="E27" s="41">
        <f>Data!E12</f>
        <v>0.75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42" t="s">
        <v>18</v>
      </c>
      <c r="B28" s="39">
        <f>Data!C13</f>
        <v>468</v>
      </c>
      <c r="C28" s="40">
        <f t="shared" si="1"/>
        <v>3</v>
      </c>
      <c r="D28" s="40" t="str">
        <f t="shared" si="2"/>
        <v>Top 3</v>
      </c>
      <c r="E28" s="41">
        <f>Data!E13</f>
        <v>0.78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42" t="s">
        <v>19</v>
      </c>
      <c r="B29" s="39">
        <f>Data!C14</f>
        <v>492</v>
      </c>
      <c r="C29" s="40">
        <f t="shared" si="1"/>
        <v>2</v>
      </c>
      <c r="D29" s="40" t="str">
        <f t="shared" si="2"/>
        <v>Top 3</v>
      </c>
      <c r="E29" s="41">
        <f>Data!E14</f>
        <v>0.82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43" t="s">
        <v>20</v>
      </c>
      <c r="B30" s="44">
        <f>Data!C15</f>
        <v>524</v>
      </c>
      <c r="C30" s="45">
        <f t="shared" si="1"/>
        <v>1</v>
      </c>
      <c r="D30" s="45" t="str">
        <f t="shared" si="2"/>
        <v>Top 3</v>
      </c>
      <c r="E30" s="46">
        <f>Data!E15</f>
        <v>0.87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25" t="s">
        <v>39</v>
      </c>
      <c r="B32" s="26"/>
      <c r="C32" s="26"/>
      <c r="D32" s="26"/>
      <c r="E32" s="27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28" t="s">
        <v>0</v>
      </c>
      <c r="B33" s="29" t="s">
        <v>4</v>
      </c>
      <c r="C33" s="29" t="s">
        <v>5</v>
      </c>
      <c r="D33" s="29" t="s">
        <v>40</v>
      </c>
      <c r="E33" s="30" t="s">
        <v>41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1" t="s">
        <v>9</v>
      </c>
      <c r="B34" s="47">
        <f>Data!E4</f>
        <v>0.68</v>
      </c>
      <c r="C34" s="47">
        <f>Data!F4</f>
        <v>0.12</v>
      </c>
      <c r="D34" s="47">
        <f t="shared" ref="D34:D45" si="3">B34-C34</f>
        <v>0.56</v>
      </c>
      <c r="E34" s="48">
        <f t="shared" ref="E34:E45" si="4">RANK(D34,$D$34:$D$45,0)</f>
        <v>10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4" t="s">
        <v>10</v>
      </c>
      <c r="B35" s="47">
        <f>Data!E5</f>
        <v>0.64</v>
      </c>
      <c r="C35" s="47">
        <f>Data!F5</f>
        <v>0.15</v>
      </c>
      <c r="D35" s="47">
        <f t="shared" si="3"/>
        <v>0.49</v>
      </c>
      <c r="E35" s="48">
        <f t="shared" si="4"/>
        <v>11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4" t="s">
        <v>11</v>
      </c>
      <c r="B36" s="47">
        <f>Data!E6</f>
        <v>0.74</v>
      </c>
      <c r="C36" s="47">
        <f>Data!F6</f>
        <v>0.1</v>
      </c>
      <c r="D36" s="47">
        <f t="shared" si="3"/>
        <v>0.64</v>
      </c>
      <c r="E36" s="48">
        <f t="shared" si="4"/>
        <v>6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4" t="s">
        <v>12</v>
      </c>
      <c r="B37" s="47">
        <f>Data!E7</f>
        <v>0.71</v>
      </c>
      <c r="C37" s="47">
        <f>Data!F7</f>
        <v>0.11</v>
      </c>
      <c r="D37" s="47">
        <f t="shared" si="3"/>
        <v>0.6</v>
      </c>
      <c r="E37" s="48">
        <f t="shared" si="4"/>
        <v>8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4" t="s">
        <v>13</v>
      </c>
      <c r="B38" s="47">
        <f>Data!E8</f>
        <v>0.76</v>
      </c>
      <c r="C38" s="47">
        <f>Data!F8</f>
        <v>0.09</v>
      </c>
      <c r="D38" s="47">
        <f t="shared" si="3"/>
        <v>0.67</v>
      </c>
      <c r="E38" s="48">
        <f t="shared" si="4"/>
        <v>4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4" t="s">
        <v>14</v>
      </c>
      <c r="B39" s="47">
        <f>Data!E9</f>
        <v>0.69</v>
      </c>
      <c r="C39" s="47">
        <f>Data!F9</f>
        <v>0.1</v>
      </c>
      <c r="D39" s="47">
        <f t="shared" si="3"/>
        <v>0.59</v>
      </c>
      <c r="E39" s="48">
        <f t="shared" si="4"/>
        <v>9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4" t="s">
        <v>15</v>
      </c>
      <c r="B40" s="47">
        <f>Data!E10</f>
        <v>0.73</v>
      </c>
      <c r="C40" s="47">
        <f>Data!F10</f>
        <v>0.11</v>
      </c>
      <c r="D40" s="47">
        <f t="shared" si="3"/>
        <v>0.62</v>
      </c>
      <c r="E40" s="48">
        <f t="shared" si="4"/>
        <v>7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4" t="s">
        <v>16</v>
      </c>
      <c r="B41" s="47">
        <f>Data!E11</f>
        <v>0.6</v>
      </c>
      <c r="C41" s="47">
        <f>Data!F11</f>
        <v>0.14</v>
      </c>
      <c r="D41" s="47">
        <f t="shared" si="3"/>
        <v>0.46</v>
      </c>
      <c r="E41" s="48">
        <f t="shared" si="4"/>
        <v>12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4" t="s">
        <v>17</v>
      </c>
      <c r="B42" s="47">
        <f>Data!E12</f>
        <v>0.75</v>
      </c>
      <c r="C42" s="47">
        <f>Data!F12</f>
        <v>0.09</v>
      </c>
      <c r="D42" s="47">
        <f t="shared" si="3"/>
        <v>0.66</v>
      </c>
      <c r="E42" s="48">
        <f t="shared" si="4"/>
        <v>5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4" t="s">
        <v>18</v>
      </c>
      <c r="B43" s="47">
        <f>Data!E13</f>
        <v>0.78</v>
      </c>
      <c r="C43" s="47">
        <f>Data!F13</f>
        <v>0.08</v>
      </c>
      <c r="D43" s="47">
        <f t="shared" si="3"/>
        <v>0.7</v>
      </c>
      <c r="E43" s="48">
        <f t="shared" si="4"/>
        <v>3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4" t="s">
        <v>19</v>
      </c>
      <c r="B44" s="47">
        <f>Data!E14</f>
        <v>0.82</v>
      </c>
      <c r="C44" s="47">
        <f>Data!F14</f>
        <v>0.07</v>
      </c>
      <c r="D44" s="47">
        <f t="shared" si="3"/>
        <v>0.75</v>
      </c>
      <c r="E44" s="48">
        <f t="shared" si="4"/>
        <v>2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5" t="s">
        <v>20</v>
      </c>
      <c r="B45" s="49">
        <f>Data!E15</f>
        <v>0.87</v>
      </c>
      <c r="C45" s="49">
        <f>Data!F15</f>
        <v>0.06</v>
      </c>
      <c r="D45" s="49">
        <f t="shared" si="3"/>
        <v>0.81</v>
      </c>
      <c r="E45" s="50">
        <f t="shared" si="4"/>
        <v>1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A1:E1"/>
    <mergeCell ref="A2:C2"/>
    <mergeCell ref="A17:E17"/>
    <mergeCell ref="A32:E32"/>
  </mergeCells>
  <conditionalFormatting sqref="B4:B15">
    <cfRule type="colorScale" priority="1">
      <colorScale>
        <cfvo type="formula" val="1100"/>
        <cfvo type="formula" val="1400"/>
        <cfvo type="formula" val="1900"/>
        <color rgb="FFE06666"/>
        <color rgb="FFFFE599"/>
        <color rgb="FFF1C232"/>
      </colorScale>
    </cfRule>
  </conditionalFormatting>
  <conditionalFormatting sqref="C4:C15">
    <cfRule type="colorScale" priority="2">
      <colorScale>
        <cfvo type="formula" val="0"/>
        <cfvo type="formula" val="0.05"/>
        <cfvo type="formula" val="0.23"/>
        <color rgb="FFEA9999"/>
        <color rgb="FFB6D7A8"/>
        <color rgb="FF6AA84F"/>
      </colorScale>
    </cfRule>
  </conditionalFormatting>
  <conditionalFormatting sqref="D19:D30">
    <cfRule type="containsText" dxfId="0" priority="3" operator="containsText" text="Top 3">
      <formula>NOT(ISERROR(SEARCH(("Top 3"),(D19))))</formula>
    </cfRule>
  </conditionalFormatting>
  <conditionalFormatting sqref="D34:D45">
    <cfRule type="colorScale" priority="4">
      <colorScale>
        <cfvo type="formula" val="0.46"/>
        <cfvo type="formula" val="0.64"/>
        <cfvo type="formula" val="0.81"/>
        <color rgb="FFF4CCCC"/>
        <color rgb="FFFFE599"/>
        <color rgb="FFBF9000"/>
      </colorScale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</cols>
  <sheetData>
    <row r="1">
      <c r="A1" s="24" t="s">
        <v>42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5" t="s">
        <v>43</v>
      </c>
      <c r="B3" s="26"/>
      <c r="C3" s="26"/>
      <c r="D3" s="26"/>
      <c r="E3" s="27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8" t="s">
        <v>0</v>
      </c>
      <c r="B4" s="29" t="s">
        <v>6</v>
      </c>
      <c r="C4" s="29" t="s">
        <v>44</v>
      </c>
      <c r="D4" s="29" t="s">
        <v>7</v>
      </c>
      <c r="E4" s="30" t="s">
        <v>45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51" t="str">
        <f>Data!A4</f>
        <v>January</v>
      </c>
      <c r="B5" s="52">
        <f>Data!G4</f>
        <v>42</v>
      </c>
      <c r="C5" s="53" t="str">
        <f t="shared" ref="C5:C16" si="1">IFERROR((B5-B4)/B4,"N/A")</f>
        <v>N/A</v>
      </c>
      <c r="D5" s="52">
        <f>Data!H4</f>
        <v>61</v>
      </c>
      <c r="E5" s="48" t="str">
        <f t="shared" ref="E5:E16" si="2">IFERROR(B5-B4,"N/A")</f>
        <v>N/A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54" t="str">
        <f>Data!A5</f>
        <v>February</v>
      </c>
      <c r="B6" s="52">
        <f>Data!G5</f>
        <v>40</v>
      </c>
      <c r="C6" s="53">
        <f t="shared" si="1"/>
        <v>-0.04761904762</v>
      </c>
      <c r="D6" s="52">
        <f>Data!H5</f>
        <v>58</v>
      </c>
      <c r="E6" s="48">
        <f t="shared" si="2"/>
        <v>-2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54" t="str">
        <f>Data!A6</f>
        <v>March</v>
      </c>
      <c r="B7" s="52">
        <f>Data!G6</f>
        <v>45</v>
      </c>
      <c r="C7" s="53">
        <f t="shared" si="1"/>
        <v>0.125</v>
      </c>
      <c r="D7" s="52">
        <f>Data!H6</f>
        <v>65</v>
      </c>
      <c r="E7" s="48">
        <f t="shared" si="2"/>
        <v>5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54" t="str">
        <f>Data!A7</f>
        <v>April</v>
      </c>
      <c r="B8" s="52">
        <f>Data!G7</f>
        <v>44</v>
      </c>
      <c r="C8" s="53">
        <f t="shared" si="1"/>
        <v>-0.02222222222</v>
      </c>
      <c r="D8" s="52">
        <f>Data!H7</f>
        <v>63</v>
      </c>
      <c r="E8" s="48">
        <f t="shared" si="2"/>
        <v>-1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54" t="str">
        <f>Data!A8</f>
        <v>May</v>
      </c>
      <c r="B9" s="52">
        <f>Data!G8</f>
        <v>47</v>
      </c>
      <c r="C9" s="53">
        <f t="shared" si="1"/>
        <v>0.06818181818</v>
      </c>
      <c r="D9" s="52">
        <f>Data!H8</f>
        <v>67</v>
      </c>
      <c r="E9" s="48">
        <f t="shared" si="2"/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54" t="str">
        <f>Data!A9</f>
        <v>June</v>
      </c>
      <c r="B10" s="52">
        <f>Data!G9</f>
        <v>45</v>
      </c>
      <c r="C10" s="53">
        <f t="shared" si="1"/>
        <v>-0.04255319149</v>
      </c>
      <c r="D10" s="52">
        <f>Data!H9</f>
        <v>64</v>
      </c>
      <c r="E10" s="48">
        <f t="shared" si="2"/>
        <v>-2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54" t="str">
        <f>Data!A10</f>
        <v>July</v>
      </c>
      <c r="B11" s="52">
        <f>Data!G10</f>
        <v>46</v>
      </c>
      <c r="C11" s="53">
        <f t="shared" si="1"/>
        <v>0.02222222222</v>
      </c>
      <c r="D11" s="52">
        <f>Data!H10</f>
        <v>66</v>
      </c>
      <c r="E11" s="48">
        <f t="shared" si="2"/>
        <v>1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54" t="str">
        <f>Data!A11</f>
        <v>August</v>
      </c>
      <c r="B12" s="52">
        <f>Data!G11</f>
        <v>41</v>
      </c>
      <c r="C12" s="53">
        <f t="shared" si="1"/>
        <v>-0.1086956522</v>
      </c>
      <c r="D12" s="52">
        <f>Data!H11</f>
        <v>59</v>
      </c>
      <c r="E12" s="48">
        <f t="shared" si="2"/>
        <v>-5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54" t="str">
        <f>Data!A12</f>
        <v>September</v>
      </c>
      <c r="B13" s="52">
        <f>Data!G12</f>
        <v>48</v>
      </c>
      <c r="C13" s="53">
        <f t="shared" si="1"/>
        <v>0.1707317073</v>
      </c>
      <c r="D13" s="52">
        <f>Data!H12</f>
        <v>68</v>
      </c>
      <c r="E13" s="48">
        <f t="shared" si="2"/>
        <v>7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54" t="str">
        <f>Data!A13</f>
        <v>October</v>
      </c>
      <c r="B14" s="52">
        <f>Data!G13</f>
        <v>50</v>
      </c>
      <c r="C14" s="53">
        <f t="shared" si="1"/>
        <v>0.04166666667</v>
      </c>
      <c r="D14" s="52">
        <f>Data!H13</f>
        <v>71</v>
      </c>
      <c r="E14" s="48">
        <f t="shared" si="2"/>
        <v>2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54" t="str">
        <f>Data!A14</f>
        <v>November</v>
      </c>
      <c r="B15" s="52">
        <f>Data!G14</f>
        <v>54</v>
      </c>
      <c r="C15" s="53">
        <f t="shared" si="1"/>
        <v>0.08</v>
      </c>
      <c r="D15" s="52">
        <f>Data!H14</f>
        <v>74</v>
      </c>
      <c r="E15" s="48">
        <f t="shared" si="2"/>
        <v>4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55" t="str">
        <f>Data!A15</f>
        <v>December</v>
      </c>
      <c r="B16" s="56">
        <f>Data!G15</f>
        <v>58</v>
      </c>
      <c r="C16" s="57">
        <f t="shared" si="1"/>
        <v>0.07407407407</v>
      </c>
      <c r="D16" s="56">
        <f>Data!H15</f>
        <v>78</v>
      </c>
      <c r="E16" s="50">
        <f t="shared" si="2"/>
        <v>4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25" t="s">
        <v>46</v>
      </c>
      <c r="B18" s="26"/>
      <c r="C18" s="26"/>
      <c r="D18" s="26"/>
      <c r="E18" s="26"/>
      <c r="F18" s="26"/>
      <c r="G18" s="26"/>
      <c r="H18" s="2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8" t="s">
        <v>22</v>
      </c>
      <c r="B19" s="29" t="s">
        <v>47</v>
      </c>
      <c r="C19" s="29" t="s">
        <v>48</v>
      </c>
      <c r="D19" s="29" t="s">
        <v>49</v>
      </c>
      <c r="E19" s="29" t="s">
        <v>50</v>
      </c>
      <c r="F19" s="29" t="s">
        <v>51</v>
      </c>
      <c r="G19" s="29" t="s">
        <v>52</v>
      </c>
      <c r="H19" s="30" t="s">
        <v>53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1" t="s">
        <v>9</v>
      </c>
      <c r="B20" s="58">
        <f>IFERROR(Data!B19/Data!$B$19,"    –    ")</f>
        <v>1</v>
      </c>
      <c r="C20" s="58">
        <f>IFERROR(Data!C19/Data!$B$19,"    –    ")</f>
        <v>0.6</v>
      </c>
      <c r="D20" s="58">
        <f>IFERROR(Data!D19/Data!$B$19,"    –    ")</f>
        <v>0.45</v>
      </c>
      <c r="E20" s="58">
        <f>IFERROR(Data!E19/Data!$B$19,"    –    ")</f>
        <v>0.35</v>
      </c>
      <c r="F20" s="58">
        <f>IFERROR(Data!F19/Data!$B$19,"    –    ")</f>
        <v>0.3</v>
      </c>
      <c r="G20" s="58">
        <f>IFERROR(Data!G19/Data!$B$19,"    –    ")</f>
        <v>0.25</v>
      </c>
      <c r="H20" s="59">
        <f>IFERROR(Data!H19/Data!$B$19,"    –    ")</f>
        <v>0.2166666667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4" t="s">
        <v>10</v>
      </c>
      <c r="B21" s="58">
        <f>IFERROR(Data!B20/Data!$B$20,"    –    ")</f>
        <v>1</v>
      </c>
      <c r="C21" s="58">
        <f>IFERROR(Data!C20/Data!$B$20,"    –    ")</f>
        <v>0.580952381</v>
      </c>
      <c r="D21" s="58">
        <f>IFERROR(Data!D20/Data!$B$20,"    –    ")</f>
        <v>0.419047619</v>
      </c>
      <c r="E21" s="58">
        <f>IFERROR(Data!E20/Data!$B$20,"    –    ")</f>
        <v>0.3142857143</v>
      </c>
      <c r="F21" s="58">
        <f>IFERROR(Data!F20/Data!$B$20,"    –    ")</f>
        <v>0.2571428571</v>
      </c>
      <c r="G21" s="58">
        <f>IFERROR(Data!G20/Data!$B$20,"    –    ")</f>
        <v>0.2095238095</v>
      </c>
      <c r="H21" s="59" t="str">
        <f>IFERROR(Data!H20/Data!$B$20,"    –    ")</f>
        <v>    –    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4" t="s">
        <v>11</v>
      </c>
      <c r="B22" s="58">
        <f>IFERROR(Data!B21/Data!$B$21,"    –    ")</f>
        <v>1</v>
      </c>
      <c r="C22" s="58">
        <f>IFERROR(Data!C21/Data!$B$21,"    –    ")</f>
        <v>0.6060606061</v>
      </c>
      <c r="D22" s="58">
        <f>IFERROR(Data!D21/Data!$B$21,"    –    ")</f>
        <v>0.4545454545</v>
      </c>
      <c r="E22" s="58">
        <f>IFERROR(Data!E21/Data!$B$21,"    –    ")</f>
        <v>0.3560606061</v>
      </c>
      <c r="F22" s="58">
        <f>IFERROR(Data!F21/Data!$B$21,"    –    ")</f>
        <v>0.2878787879</v>
      </c>
      <c r="G22" s="58" t="str">
        <f>IFERROR(Data!G21/Data!$B$21,"    –    ")</f>
        <v>    –    </v>
      </c>
      <c r="H22" s="59" t="str">
        <f>IFERROR(Data!H21/Data!$B$21,"    –    ")</f>
        <v>    –    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4" t="s">
        <v>12</v>
      </c>
      <c r="B23" s="58">
        <f>IFERROR(Data!B22/Data!$B$22,"    –    ")</f>
        <v>1</v>
      </c>
      <c r="C23" s="58">
        <f>IFERROR(Data!C22/Data!$B$22,"    –    ")</f>
        <v>0.5714285714</v>
      </c>
      <c r="D23" s="58">
        <f>IFERROR(Data!D22/Data!$B$22,"    –    ")</f>
        <v>0.4081632653</v>
      </c>
      <c r="E23" s="58">
        <f>IFERROR(Data!E22/Data!$B$22,"    –    ")</f>
        <v>0.306122449</v>
      </c>
      <c r="F23" s="58" t="str">
        <f>IFERROR(Data!F22/Data!$B$22,"    –    ")</f>
        <v>    –    </v>
      </c>
      <c r="G23" s="58" t="str">
        <f>IFERROR(Data!G22/Data!$B$22,"    –    ")</f>
        <v>    –    </v>
      </c>
      <c r="H23" s="59" t="str">
        <f>IFERROR(Data!H22/Data!$B$22,"    –    ")</f>
        <v>    –    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4" t="s">
        <v>13</v>
      </c>
      <c r="B24" s="58">
        <f>IFERROR(Data!B23/Data!$B$23,"    –    ")</f>
        <v>1</v>
      </c>
      <c r="C24" s="58">
        <f>IFERROR(Data!C23/Data!$B$23,"    –    ")</f>
        <v>0.5913043478</v>
      </c>
      <c r="D24" s="58">
        <f>IFERROR(Data!D23/Data!$B$23,"    –    ")</f>
        <v>0.4347826087</v>
      </c>
      <c r="E24" s="58" t="str">
        <f>IFERROR(Data!E23/Data!$B$23,"    –    ")</f>
        <v>    –    </v>
      </c>
      <c r="F24" s="58" t="str">
        <f>IFERROR(Data!F23/Data!$B$23,"    –    ")</f>
        <v>    –    </v>
      </c>
      <c r="G24" s="58" t="str">
        <f>IFERROR(Data!G23/Data!$B$23,"    –    ")</f>
        <v>    –    </v>
      </c>
      <c r="H24" s="59" t="str">
        <f>IFERROR(Data!H23/Data!$B$23,"    –    ")</f>
        <v>    –    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4" t="s">
        <v>14</v>
      </c>
      <c r="B25" s="58">
        <f>IFERROR(Data!B24/Data!$B$24,"    –    ")</f>
        <v>1</v>
      </c>
      <c r="C25" s="58">
        <f>IFERROR(Data!C24/Data!$B$24,"    –    ")</f>
        <v>0.5818181818</v>
      </c>
      <c r="D25" s="58" t="str">
        <f>IFERROR(Data!D24/Data!$B$24,"    –    ")</f>
        <v>    –    </v>
      </c>
      <c r="E25" s="58" t="str">
        <f>IFERROR(Data!E24/Data!$B$24,"    –    ")</f>
        <v>    –    </v>
      </c>
      <c r="F25" s="58" t="str">
        <f>IFERROR(Data!F24/Data!$B$24,"    –    ")</f>
        <v>    –    </v>
      </c>
      <c r="G25" s="58" t="str">
        <f>IFERROR(Data!G24/Data!$B$24,"    –    ")</f>
        <v>    –    </v>
      </c>
      <c r="H25" s="59" t="str">
        <f>IFERROR(Data!H24/Data!$B$24,"    –    ")</f>
        <v>    –    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5" t="s">
        <v>15</v>
      </c>
      <c r="B26" s="60">
        <f>IFERROR(Data!B25/Data!$B$25,"    –    ")</f>
        <v>1</v>
      </c>
      <c r="C26" s="60" t="str">
        <f>IFERROR(Data!C25/Data!$B$25,"    –    ")</f>
        <v>    –    </v>
      </c>
      <c r="D26" s="60" t="str">
        <f>IFERROR(Data!D25/Data!$B$25,"    –    ")</f>
        <v>    –    </v>
      </c>
      <c r="E26" s="60" t="str">
        <f>IFERROR(Data!E25/Data!$B$25,"    –    ")</f>
        <v>    –    </v>
      </c>
      <c r="F26" s="60" t="str">
        <f>IFERROR(Data!F25/Data!$B$25,"    –    ")</f>
        <v>    –    </v>
      </c>
      <c r="G26" s="60" t="str">
        <f>IFERROR(Data!G25/Data!$B$25,"    –    ")</f>
        <v>    –    </v>
      </c>
      <c r="H26" s="61" t="str">
        <f>IFERROR(Data!H25/Data!$B$25,"    –    ")</f>
        <v>    –    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62" t="s">
        <v>54</v>
      </c>
      <c r="B27" s="63">
        <f t="shared" ref="B27:H27" si="3">AVERAGEIF(B20:B26,"&lt;&gt;–",B20:B26)</f>
        <v>1</v>
      </c>
      <c r="C27" s="64">
        <f t="shared" si="3"/>
        <v>0.5885940147</v>
      </c>
      <c r="D27" s="64">
        <f t="shared" si="3"/>
        <v>0.4333077895</v>
      </c>
      <c r="E27" s="64">
        <f t="shared" si="3"/>
        <v>0.3316171923</v>
      </c>
      <c r="F27" s="64">
        <f t="shared" si="3"/>
        <v>0.2816738817</v>
      </c>
      <c r="G27" s="64">
        <f t="shared" si="3"/>
        <v>0.2297619048</v>
      </c>
      <c r="H27" s="65">
        <f t="shared" si="3"/>
        <v>0.2166666667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1" t="s">
        <v>55</v>
      </c>
      <c r="B28" s="66">
        <f>AVERAGEIF(C20:C26,"&lt;&gt;–",C20:C26)</f>
        <v>0.5885940147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4" t="s">
        <v>56</v>
      </c>
      <c r="B29" s="67">
        <f>AVERAGEIF(E20:E26,"&lt;&gt;–",E20:E26)</f>
        <v>0.3316171923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5" t="s">
        <v>57</v>
      </c>
      <c r="B30" s="68" t="str">
        <f t="array" ref="B30">INDEX(A20:A26,MATCH(MAX(C20:C26),C20:C26,0))</f>
        <v>March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A1:H1"/>
    <mergeCell ref="A3:E3"/>
    <mergeCell ref="A18:H18"/>
  </mergeCells>
  <conditionalFormatting sqref="C5:C16">
    <cfRule type="colorScale" priority="1">
      <colorScale>
        <cfvo type="formula" val="-0.1086956522"/>
        <cfvo type="formula" val="0.04225352113"/>
        <cfvo type="formula" val="0.4791666667"/>
        <color rgb="FFE06666"/>
        <color rgb="FF93C47D"/>
        <color rgb="FF38761D"/>
      </colorScale>
    </cfRule>
  </conditionalFormatting>
  <conditionalFormatting sqref="B20:H27">
    <cfRule type="colorScale" priority="2">
      <colorScale>
        <cfvo type="formula" val="0.2"/>
        <cfvo type="formula" val="0.4"/>
        <cfvo type="formula" val="1"/>
        <color rgb="FFA61C00"/>
        <color rgb="FF93C47D"/>
        <color rgb="FFF1C232"/>
      </colorScale>
    </cfRule>
  </conditionalFormatting>
  <conditionalFormatting sqref="C20:H26">
    <cfRule type="containsText" dxfId="1" priority="3" operator="containsText" text="–">
      <formula>NOT(ISERROR(SEARCH(("–"),(C20))))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4" max="4" width="34.25"/>
  </cols>
  <sheetData>
    <row r="1">
      <c r="A1" s="24" t="s">
        <v>58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69" t="s">
        <v>59</v>
      </c>
      <c r="E3" s="26"/>
      <c r="F3" s="26"/>
      <c r="G3" s="26"/>
      <c r="H3" s="26"/>
      <c r="I3" s="26"/>
      <c r="J3" s="26"/>
      <c r="K3" s="26"/>
      <c r="L3" s="26"/>
      <c r="M3" s="27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5" t="s">
        <v>60</v>
      </c>
      <c r="B4" s="27"/>
      <c r="C4" s="70"/>
      <c r="D4" s="71" t="s">
        <v>61</v>
      </c>
      <c r="M4" s="72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73"/>
      <c r="B5" s="74"/>
      <c r="C5" s="1"/>
      <c r="D5" s="75" t="s">
        <v>62</v>
      </c>
      <c r="M5" s="72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8" t="s">
        <v>63</v>
      </c>
      <c r="B6" s="76" t="str">
        <f t="array" ref="B6">INDEX(Data!A4:A15,MATCH(MAX(Data!B4:B15),Data!B4:B15,0))</f>
        <v>December</v>
      </c>
      <c r="C6" s="1"/>
      <c r="D6" s="71" t="s">
        <v>64</v>
      </c>
      <c r="M6" s="72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42" t="s">
        <v>65</v>
      </c>
      <c r="B7" s="77">
        <f>MAX(Data!B4:B15)</f>
        <v>1890</v>
      </c>
      <c r="C7" s="1"/>
      <c r="D7" s="78" t="s">
        <v>66</v>
      </c>
      <c r="M7" s="72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42" t="s">
        <v>67</v>
      </c>
      <c r="B8" s="79" t="str">
        <f t="array" ref="B8">INDEX(Data!A4:A15,MATCH(MAX(Data!C4:C15),Data!C4:C15,0))</f>
        <v>December</v>
      </c>
      <c r="C8" s="1"/>
      <c r="D8" s="80" t="s">
        <v>68</v>
      </c>
      <c r="M8" s="72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42" t="s">
        <v>69</v>
      </c>
      <c r="B9" s="77">
        <f>MAX(Data!C4:C15)</f>
        <v>524</v>
      </c>
      <c r="C9" s="1"/>
      <c r="D9" s="75" t="s">
        <v>70</v>
      </c>
      <c r="M9" s="72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42" t="s">
        <v>71</v>
      </c>
      <c r="B10" s="81">
        <f>AVERAGE(Data!E4:E15)</f>
        <v>0.7308333333</v>
      </c>
      <c r="C10" s="1"/>
      <c r="D10" s="80" t="s">
        <v>72</v>
      </c>
      <c r="M10" s="72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42" t="s">
        <v>73</v>
      </c>
      <c r="B11" s="79" t="str">
        <f t="array" ref="B11">INDEX(Data!A4:A15,MATCH(MAX(Data!H4:H15),Data!H4:H15,0))</f>
        <v>December</v>
      </c>
      <c r="C11" s="1"/>
      <c r="D11" s="82" t="s">
        <v>74</v>
      </c>
      <c r="E11" s="83"/>
      <c r="F11" s="83"/>
      <c r="G11" s="83"/>
      <c r="H11" s="83"/>
      <c r="I11" s="83"/>
      <c r="J11" s="83"/>
      <c r="K11" s="83"/>
      <c r="L11" s="83"/>
      <c r="M11" s="84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42" t="s">
        <v>75</v>
      </c>
      <c r="B12" s="79">
        <f>MAX(Data!H4:H15)</f>
        <v>78</v>
      </c>
      <c r="C12" s="1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8" t="s">
        <v>76</v>
      </c>
      <c r="B13" s="86">
        <f>'Client &amp; Retention Dashboard'!B28</f>
        <v>0.5885940147</v>
      </c>
      <c r="C13" s="1"/>
      <c r="D13" s="87"/>
      <c r="E13" s="87"/>
      <c r="F13" s="87"/>
      <c r="G13" s="87"/>
      <c r="H13" s="87"/>
      <c r="I13" s="87"/>
      <c r="J13" s="87"/>
      <c r="K13" s="87"/>
      <c r="L13" s="87"/>
      <c r="M13" s="87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43" t="s">
        <v>77</v>
      </c>
      <c r="B14" s="88">
        <f>'Client &amp; Retention Dashboard'!B29</f>
        <v>0.3316171923</v>
      </c>
      <c r="C14" s="1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11">
    <mergeCell ref="D7:M7"/>
    <mergeCell ref="D8:M8"/>
    <mergeCell ref="D4:M4"/>
    <mergeCell ref="D3:M3"/>
    <mergeCell ref="A4:B4"/>
    <mergeCell ref="D5:M5"/>
    <mergeCell ref="D6:M6"/>
    <mergeCell ref="D9:M9"/>
    <mergeCell ref="D10:M10"/>
    <mergeCell ref="D11:M11"/>
    <mergeCell ref="A1:M1"/>
  </mergeCells>
  <drawing r:id="rId1"/>
</worksheet>
</file>